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1f5410be8f5f57/Desktop/"/>
    </mc:Choice>
  </mc:AlternateContent>
  <xr:revisionPtr revIDLastSave="0" documentId="8_{BAD8D549-B838-416E-AEA4-C8E41A8BAA8B}" xr6:coauthVersionLast="47" xr6:coauthVersionMax="47" xr10:uidLastSave="{00000000-0000-0000-0000-000000000000}"/>
  <bookViews>
    <workbookView xWindow="-108" yWindow="-108" windowWidth="23256" windowHeight="12456" xr2:uid="{ABCBB46E-86D5-4EBC-B6E1-58D4B953DA7C}"/>
  </bookViews>
  <sheets>
    <sheet name="Student_Data" sheetId="1" r:id="rId1"/>
    <sheet name="Sales_Data" sheetId="2" r:id="rId2"/>
    <sheet name="Regional_Sales" sheetId="3" r:id="rId3"/>
    <sheet name="Product_Data" sheetId="4" r:id="rId4"/>
    <sheet name="Sales_Monthly" sheetId="5" r:id="rId5"/>
    <sheet name="Text_Data" sheetId="6" r:id="rId6"/>
    <sheet name="Employee_Dat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 a="1"/>
  <c r="I3" i="2"/>
  <c r="I4" i="2"/>
  <c r="I5" i="2"/>
  <c r="I6" i="2"/>
  <c r="I7" i="2"/>
  <c r="I8" i="2"/>
  <c r="I2" i="2"/>
  <c r="H2" i="2"/>
  <c r="G2" i="2"/>
  <c r="R2" i="1"/>
  <c r="K3" i="1"/>
  <c r="Q2" i="1"/>
  <c r="J3" i="5"/>
  <c r="J2" i="5"/>
  <c r="K3" i="4" a="1"/>
  <c r="K2" i="4" a="1"/>
  <c r="H2" i="4"/>
  <c r="G2" i="7"/>
  <c r="F2" i="7"/>
  <c r="D2" i="6"/>
  <c r="C2" i="6"/>
  <c r="B2" i="6"/>
  <c r="H2" i="5"/>
  <c r="E2" i="4"/>
  <c r="P2" i="1"/>
  <c r="E2" i="3"/>
  <c r="M2" i="1"/>
  <c r="L3" i="1"/>
  <c r="L4" i="1"/>
  <c r="L5" i="1"/>
  <c r="L6" i="1"/>
  <c r="L7" i="1"/>
  <c r="L8" i="1"/>
  <c r="L9" i="1"/>
  <c r="L10" i="1"/>
  <c r="L11" i="1"/>
  <c r="L2" i="1"/>
  <c r="E3" i="2"/>
  <c r="E4" i="2"/>
  <c r="E5" i="2"/>
  <c r="E6" i="2"/>
  <c r="E7" i="2"/>
  <c r="E8" i="2"/>
  <c r="E2" i="2"/>
  <c r="K4" i="1"/>
  <c r="K5" i="1"/>
  <c r="K6" i="1"/>
  <c r="K7" i="1"/>
  <c r="K8" i="1"/>
  <c r="K9" i="1"/>
  <c r="K10" i="1"/>
  <c r="K11" i="1"/>
  <c r="K2" i="1"/>
  <c r="D3" i="2"/>
  <c r="D4" i="2"/>
  <c r="D5" i="2"/>
  <c r="D6" i="2"/>
  <c r="D7" i="2"/>
  <c r="D8" i="2"/>
  <c r="D2" i="2"/>
  <c r="J3" i="1"/>
  <c r="J4" i="1"/>
  <c r="J5" i="1"/>
  <c r="J6" i="1"/>
  <c r="J7" i="1"/>
  <c r="J8" i="1"/>
  <c r="J9" i="1"/>
  <c r="J10" i="1"/>
  <c r="J11" i="1"/>
  <c r="J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<sst xmlns="http://schemas.openxmlformats.org/spreadsheetml/2006/main" count="157" uniqueCount="114">
  <si>
    <t>Student ID</t>
  </si>
  <si>
    <t>Student Name</t>
  </si>
  <si>
    <t>Math</t>
  </si>
  <si>
    <t>Science</t>
  </si>
  <si>
    <t>English</t>
  </si>
  <si>
    <t>Join Date</t>
  </si>
  <si>
    <t>S001</t>
  </si>
  <si>
    <t>Avani</t>
  </si>
  <si>
    <t>15-06-2024</t>
  </si>
  <si>
    <t>S002</t>
  </si>
  <si>
    <t>Riya</t>
  </si>
  <si>
    <t>20-07-2024</t>
  </si>
  <si>
    <t>S003</t>
  </si>
  <si>
    <t>Krisha</t>
  </si>
  <si>
    <t>S004</t>
  </si>
  <si>
    <t>Neha</t>
  </si>
  <si>
    <t>25-08-2024</t>
  </si>
  <si>
    <t>S005</t>
  </si>
  <si>
    <t>Priya</t>
  </si>
  <si>
    <t>S006</t>
  </si>
  <si>
    <t>Diya</t>
  </si>
  <si>
    <t>S007</t>
  </si>
  <si>
    <t>Jiya</t>
  </si>
  <si>
    <t>18-09-2024</t>
  </si>
  <si>
    <t>S008</t>
  </si>
  <si>
    <t>Kavya</t>
  </si>
  <si>
    <t>25-09-2024</t>
  </si>
  <si>
    <t>S009</t>
  </si>
  <si>
    <t>Isha</t>
  </si>
  <si>
    <t>S010</t>
  </si>
  <si>
    <t>Anjali</t>
  </si>
  <si>
    <t>15-10-2024</t>
  </si>
  <si>
    <t>Average</t>
  </si>
  <si>
    <t>Pass Mark</t>
  </si>
  <si>
    <t>Result</t>
  </si>
  <si>
    <t>Grade</t>
  </si>
  <si>
    <t>Product</t>
  </si>
  <si>
    <t>Price</t>
  </si>
  <si>
    <t>Discount</t>
  </si>
  <si>
    <t>Laptop</t>
  </si>
  <si>
    <t>Mouse</t>
  </si>
  <si>
    <t>Keyboard</t>
  </si>
  <si>
    <t>Monitor</t>
  </si>
  <si>
    <t>Headphones</t>
  </si>
  <si>
    <t>Printer</t>
  </si>
  <si>
    <t>USB Cable</t>
  </si>
  <si>
    <t>Discount Amount</t>
  </si>
  <si>
    <t>Math &amp; Science Result</t>
  </si>
  <si>
    <t>Discount Eligible</t>
  </si>
  <si>
    <t>Math Above 50</t>
  </si>
  <si>
    <t>Average Above 60</t>
  </si>
  <si>
    <t>Region</t>
  </si>
  <si>
    <t>Sales</t>
  </si>
  <si>
    <t>North</t>
  </si>
  <si>
    <t>South</t>
  </si>
  <si>
    <t>West</t>
  </si>
  <si>
    <t>North Laptop Sales</t>
  </si>
  <si>
    <t>Search ID</t>
  </si>
  <si>
    <t>Product Code</t>
  </si>
  <si>
    <t>P001</t>
  </si>
  <si>
    <t>P002</t>
  </si>
  <si>
    <t>P003</t>
  </si>
  <si>
    <t>P004</t>
  </si>
  <si>
    <t>P005</t>
  </si>
  <si>
    <t>P006</t>
  </si>
  <si>
    <t>Search Product Code</t>
  </si>
  <si>
    <t>Product Price</t>
  </si>
  <si>
    <t>Salesperson</t>
  </si>
  <si>
    <t>January</t>
  </si>
  <si>
    <t>February</t>
  </si>
  <si>
    <t>March</t>
  </si>
  <si>
    <t>Rahul</t>
  </si>
  <si>
    <t>Amit</t>
  </si>
  <si>
    <t>Karan</t>
  </si>
  <si>
    <t>Month</t>
  </si>
  <si>
    <t>Full Name</t>
  </si>
  <si>
    <t>Avani Chaudhary</t>
  </si>
  <si>
    <t>Riya Patel</t>
  </si>
  <si>
    <t>Krisha Shah</t>
  </si>
  <si>
    <t>Neha Desai</t>
  </si>
  <si>
    <t>Priya Mehta</t>
  </si>
  <si>
    <t>Anjali Joshi</t>
  </si>
  <si>
    <t>First Name</t>
  </si>
  <si>
    <t>Uppercase Name</t>
  </si>
  <si>
    <t>Lowercase Name</t>
  </si>
  <si>
    <t>Employee ID</t>
  </si>
  <si>
    <t>Employee Name</t>
  </si>
  <si>
    <t>Salary</t>
  </si>
  <si>
    <t>E001</t>
  </si>
  <si>
    <t>E002</t>
  </si>
  <si>
    <t>E003</t>
  </si>
  <si>
    <t>E004</t>
  </si>
  <si>
    <t>E005</t>
  </si>
  <si>
    <t>E006</t>
  </si>
  <si>
    <t>Employee Salary</t>
  </si>
  <si>
    <t>Search Product</t>
  </si>
  <si>
    <t>Position</t>
  </si>
  <si>
    <t>Cell Reference</t>
  </si>
  <si>
    <t>c4</t>
  </si>
  <si>
    <t>c5</t>
  </si>
  <si>
    <t>Next Month Sales</t>
  </si>
  <si>
    <t>Date of Birth</t>
  </si>
  <si>
    <t>22-08-2008</t>
  </si>
  <si>
    <t>15-03-2007</t>
  </si>
  <si>
    <t>18-01-2008</t>
  </si>
  <si>
    <t>27-09-2007</t>
  </si>
  <si>
    <t>30-04-2007</t>
  </si>
  <si>
    <t>25-02-2007</t>
  </si>
  <si>
    <t>Age</t>
  </si>
  <si>
    <t>Days Difference</t>
  </si>
  <si>
    <t>Rounded Price</t>
  </si>
  <si>
    <t>Ceiling Price</t>
  </si>
  <si>
    <t>Floor Price</t>
  </si>
  <si>
    <t>Students Above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</si>
</sst>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\-mm\-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70" fontId="0" fillId="0" borderId="0" xfId="0" applyNumberFormat="1" applyAlignment="1">
      <alignment vertical="center"/>
    </xf>
    <xf numFmtId="170" fontId="0" fillId="0" borderId="0" xfId="0" applyNumberFormat="1" applyAlignment="1">
      <alignment horizontal="left" vertical="top"/>
    </xf>
    <xf numFmtId="170" fontId="0" fillId="0" borderId="0" xfId="0" applyNumberFormat="1"/>
    <xf numFmtId="170" fontId="0" fillId="0" borderId="0" xfId="0" applyNumberFormat="1" applyAlignment="1">
      <alignment horizontal="left"/>
    </xf>
    <xf numFmtId="170" fontId="0" fillId="0" borderId="0" xfId="0" applyNumberFormat="1" applyAlignment="1">
      <alignment horizontal="left" vertical="center"/>
    </xf>
    <xf numFmtId="170" fontId="0" fillId="0" borderId="0" xfId="0" applyNumberForma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80DB-DC2E-4C94-8E3F-808DD2981424}">
  <dimension ref="A1:AC11"/>
  <sheetViews>
    <sheetView tabSelected="1" zoomScale="90" zoomScaleNormal="90" workbookViewId="0">
      <selection activeCell="T1" sqref="T1"/>
    </sheetView>
  </sheetViews>
  <sheetFormatPr defaultRowHeight="14.4" x14ac:dyDescent="0.3"/>
  <cols>
    <col min="1" max="1" width="11.21875" customWidth="1"/>
    <col min="2" max="2" width="13.88671875" customWidth="1"/>
    <col min="6" max="6" width="13.5546875" customWidth="1"/>
    <col min="8" max="8" width="10.44140625" customWidth="1"/>
    <col min="11" max="11" width="23.109375" customWidth="1"/>
    <col min="12" max="12" width="13.33203125" customWidth="1"/>
    <col min="13" max="13" width="18" customWidth="1"/>
    <col min="14" max="14" width="12.6640625" customWidth="1"/>
    <col min="16" max="16" width="13.6640625" customWidth="1"/>
    <col min="18" max="18" width="13.77734375" customWidth="1"/>
    <col min="20" max="20" width="16.44140625" customWidth="1"/>
  </cols>
  <sheetData>
    <row r="1" spans="1:29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32</v>
      </c>
      <c r="H1" s="9" t="s">
        <v>34</v>
      </c>
      <c r="I1" s="1" t="s">
        <v>33</v>
      </c>
      <c r="J1" s="1" t="s">
        <v>35</v>
      </c>
      <c r="K1" s="1" t="s">
        <v>47</v>
      </c>
      <c r="L1" s="1" t="s">
        <v>49</v>
      </c>
      <c r="M1" s="1" t="s">
        <v>50</v>
      </c>
      <c r="N1" s="1" t="s">
        <v>101</v>
      </c>
      <c r="O1" s="1" t="s">
        <v>57</v>
      </c>
      <c r="P1" s="1" t="s">
        <v>1</v>
      </c>
      <c r="Q1" s="1" t="s">
        <v>108</v>
      </c>
      <c r="R1" s="1" t="s">
        <v>109</v>
      </c>
      <c r="T1" s="1" t="s">
        <v>113</v>
      </c>
    </row>
    <row r="2" spans="1:29" x14ac:dyDescent="0.3">
      <c r="A2" t="s">
        <v>6</v>
      </c>
      <c r="B2" t="s">
        <v>7</v>
      </c>
      <c r="C2">
        <v>85</v>
      </c>
      <c r="D2">
        <v>91</v>
      </c>
      <c r="E2">
        <v>78</v>
      </c>
      <c r="F2" s="2" t="s">
        <v>8</v>
      </c>
      <c r="G2">
        <f>AVERAGE(C2:E2)</f>
        <v>84.666666666666671</v>
      </c>
      <c r="H2" t="str">
        <f>IF(G2&gt;=$I$2,"Pass","Fail")</f>
        <v>Pass</v>
      </c>
      <c r="I2">
        <v>50</v>
      </c>
      <c r="J2" t="str">
        <f>IF(G2&gt;=80,"A",IF(G2&gt;=60,"B",IF(G2&gt;=50,"C","D")))</f>
        <v>A</v>
      </c>
      <c r="K2" t="str">
        <f>IF(AND(C2&gt;=80,D2&gt;=80),"Yes","No")</f>
        <v>Yes</v>
      </c>
      <c r="L2">
        <f>COUNTIFS(C2:C11,"&gt;50")</f>
        <v>8</v>
      </c>
      <c r="M2">
        <f>AVERAGEIFS(G2:G11,G2:G11,"&gt;60")</f>
        <v>81.666666666666657</v>
      </c>
      <c r="N2" s="10" t="s">
        <v>102</v>
      </c>
      <c r="O2" t="s">
        <v>17</v>
      </c>
      <c r="P2" t="str">
        <f>VLOOKUP(O2,A2:B11,2,FALSE)</f>
        <v>Priya</v>
      </c>
      <c r="Q2">
        <f ca="1">DATEDIF(DATE(RIGHT(N2,4),MID(N2,4,2),LEFT(N2,2)),TODAY(),"Y")</f>
        <v>18</v>
      </c>
      <c r="R2" t="e">
        <f>F2-N2</f>
        <v>#VALUE!</v>
      </c>
      <c r="T2" t="str" cm="1">
        <f t="array" ref="T2:AC6">_xlfn._xlws.FILTER(A2:J11,G2:G11&gt;80)</f>
        <v>S001</v>
      </c>
      <c r="U2" t="str">
        <v>Avani</v>
      </c>
      <c r="V2">
        <v>85</v>
      </c>
      <c r="W2">
        <v>91</v>
      </c>
      <c r="X2">
        <v>78</v>
      </c>
      <c r="Y2" t="str">
        <v>15-06-2024</v>
      </c>
      <c r="Z2">
        <v>84.666666666666671</v>
      </c>
      <c r="AA2" t="str">
        <v>Pass</v>
      </c>
      <c r="AB2">
        <v>50</v>
      </c>
      <c r="AC2" t="str">
        <v>A</v>
      </c>
    </row>
    <row r="3" spans="1:29" x14ac:dyDescent="0.3">
      <c r="A3" t="s">
        <v>9</v>
      </c>
      <c r="B3" t="s">
        <v>10</v>
      </c>
      <c r="C3">
        <v>72</v>
      </c>
      <c r="D3">
        <v>68</v>
      </c>
      <c r="E3">
        <v>81</v>
      </c>
      <c r="F3" s="2" t="s">
        <v>11</v>
      </c>
      <c r="G3">
        <f t="shared" ref="G3:G11" si="0">AVERAGE(C3:E3)</f>
        <v>73.666666666666671</v>
      </c>
      <c r="H3" t="str">
        <f t="shared" ref="H3:H11" si="1">IF(G3&gt;=$I$2,"Pass","Fail")</f>
        <v>Pass</v>
      </c>
      <c r="J3" t="str">
        <f t="shared" ref="J3:J11" si="2">IF(G3&gt;=80,"A",IF(G3&gt;=60,"B",IF(G3&gt;=50,"C","D")))</f>
        <v>B</v>
      </c>
      <c r="K3" t="str">
        <f>IF(AND(C3&gt;=80,D3&gt;=80),"Yes","No")</f>
        <v>No</v>
      </c>
      <c r="L3">
        <f t="shared" ref="L3:L11" si="3">COUNTIFS(C3:C12,"&gt;50")</f>
        <v>7</v>
      </c>
      <c r="N3" s="10" t="s">
        <v>103</v>
      </c>
      <c r="T3" t="str">
        <v>S003</v>
      </c>
      <c r="U3" t="str">
        <v>Krisha</v>
      </c>
      <c r="V3">
        <v>94</v>
      </c>
      <c r="W3">
        <v>88</v>
      </c>
      <c r="X3">
        <v>92</v>
      </c>
      <c r="Y3">
        <v>45573</v>
      </c>
      <c r="Z3">
        <v>91.333333333333329</v>
      </c>
      <c r="AA3" t="str">
        <v>Pass</v>
      </c>
      <c r="AB3">
        <v>0</v>
      </c>
      <c r="AC3" t="str">
        <v>A</v>
      </c>
    </row>
    <row r="4" spans="1:29" x14ac:dyDescent="0.3">
      <c r="A4" t="s">
        <v>12</v>
      </c>
      <c r="B4" t="s">
        <v>13</v>
      </c>
      <c r="C4">
        <v>94</v>
      </c>
      <c r="D4">
        <v>88</v>
      </c>
      <c r="E4">
        <v>92</v>
      </c>
      <c r="F4" s="3">
        <v>45573</v>
      </c>
      <c r="G4">
        <f t="shared" si="0"/>
        <v>91.333333333333329</v>
      </c>
      <c r="H4" t="str">
        <f t="shared" si="1"/>
        <v>Pass</v>
      </c>
      <c r="J4" t="str">
        <f t="shared" si="2"/>
        <v>A</v>
      </c>
      <c r="K4" t="str">
        <f t="shared" ref="K3:K11" si="4">IF(AND(C4&gt;=80,D4&gt;=80),"Yes","No")</f>
        <v>Yes</v>
      </c>
      <c r="L4">
        <f t="shared" si="3"/>
        <v>6</v>
      </c>
      <c r="N4" s="10">
        <v>39732</v>
      </c>
      <c r="T4" t="str">
        <v>S006</v>
      </c>
      <c r="U4" t="str">
        <v>Diya</v>
      </c>
      <c r="V4">
        <v>89</v>
      </c>
      <c r="W4">
        <v>95</v>
      </c>
      <c r="X4">
        <v>87</v>
      </c>
      <c r="Y4">
        <v>45635</v>
      </c>
      <c r="Z4">
        <v>90.333333333333329</v>
      </c>
      <c r="AA4" t="str">
        <v>Pass</v>
      </c>
      <c r="AB4">
        <v>0</v>
      </c>
      <c r="AC4" t="str">
        <v>A</v>
      </c>
    </row>
    <row r="5" spans="1:29" x14ac:dyDescent="0.3">
      <c r="A5" t="s">
        <v>14</v>
      </c>
      <c r="B5" t="s">
        <v>15</v>
      </c>
      <c r="C5">
        <v>56</v>
      </c>
      <c r="D5">
        <v>61</v>
      </c>
      <c r="E5">
        <v>59</v>
      </c>
      <c r="F5" s="4" t="s">
        <v>16</v>
      </c>
      <c r="G5">
        <f t="shared" si="0"/>
        <v>58.666666666666664</v>
      </c>
      <c r="H5" t="str">
        <f t="shared" si="1"/>
        <v>Pass</v>
      </c>
      <c r="J5" t="str">
        <f t="shared" si="2"/>
        <v>C</v>
      </c>
      <c r="K5" t="str">
        <f t="shared" si="4"/>
        <v>No</v>
      </c>
      <c r="L5">
        <f t="shared" si="3"/>
        <v>5</v>
      </c>
      <c r="N5" s="10">
        <v>39208</v>
      </c>
      <c r="T5" t="str">
        <v>S009</v>
      </c>
      <c r="U5" t="str">
        <v>Isha</v>
      </c>
      <c r="V5">
        <v>81</v>
      </c>
      <c r="W5">
        <v>84</v>
      </c>
      <c r="X5">
        <v>79</v>
      </c>
      <c r="Y5">
        <v>45332</v>
      </c>
      <c r="Z5">
        <v>81.333333333333329</v>
      </c>
      <c r="AA5" t="str">
        <v>Pass</v>
      </c>
      <c r="AB5">
        <v>0</v>
      </c>
      <c r="AC5" t="str">
        <v>A</v>
      </c>
    </row>
    <row r="6" spans="1:29" x14ac:dyDescent="0.3">
      <c r="A6" t="s">
        <v>17</v>
      </c>
      <c r="B6" t="s">
        <v>18</v>
      </c>
      <c r="C6">
        <v>43</v>
      </c>
      <c r="D6">
        <v>52</v>
      </c>
      <c r="E6">
        <v>48</v>
      </c>
      <c r="F6" s="5">
        <v>45421</v>
      </c>
      <c r="G6">
        <f t="shared" si="0"/>
        <v>47.666666666666664</v>
      </c>
      <c r="H6" t="str">
        <f t="shared" si="1"/>
        <v>Fail</v>
      </c>
      <c r="J6" t="str">
        <f t="shared" si="2"/>
        <v>D</v>
      </c>
      <c r="K6" t="str">
        <f t="shared" si="4"/>
        <v>No</v>
      </c>
      <c r="L6">
        <f t="shared" si="3"/>
        <v>4</v>
      </c>
      <c r="N6" s="10" t="s">
        <v>104</v>
      </c>
      <c r="T6" t="str">
        <v>S010</v>
      </c>
      <c r="U6" t="str">
        <v>Anjali</v>
      </c>
      <c r="V6">
        <v>76</v>
      </c>
      <c r="W6">
        <v>80</v>
      </c>
      <c r="X6">
        <v>85</v>
      </c>
      <c r="Y6" t="str">
        <v>15-10-2024</v>
      </c>
      <c r="Z6">
        <v>80.333333333333329</v>
      </c>
      <c r="AA6" t="str">
        <v>Pass</v>
      </c>
      <c r="AB6">
        <v>0</v>
      </c>
      <c r="AC6" t="str">
        <v>A</v>
      </c>
    </row>
    <row r="7" spans="1:29" x14ac:dyDescent="0.3">
      <c r="A7" t="s">
        <v>19</v>
      </c>
      <c r="B7" t="s">
        <v>20</v>
      </c>
      <c r="C7">
        <v>89</v>
      </c>
      <c r="D7">
        <v>95</v>
      </c>
      <c r="E7">
        <v>87</v>
      </c>
      <c r="F7" s="6">
        <v>45635</v>
      </c>
      <c r="G7">
        <f t="shared" si="0"/>
        <v>90.333333333333329</v>
      </c>
      <c r="H7" t="str">
        <f t="shared" si="1"/>
        <v>Pass</v>
      </c>
      <c r="J7" t="str">
        <f t="shared" si="2"/>
        <v>A</v>
      </c>
      <c r="K7" t="str">
        <f t="shared" si="4"/>
        <v>Yes</v>
      </c>
      <c r="L7">
        <f t="shared" si="3"/>
        <v>4</v>
      </c>
      <c r="N7" s="10" t="s">
        <v>105</v>
      </c>
    </row>
    <row r="8" spans="1:29" x14ac:dyDescent="0.3">
      <c r="A8" t="s">
        <v>21</v>
      </c>
      <c r="B8" t="s">
        <v>22</v>
      </c>
      <c r="C8">
        <v>67</v>
      </c>
      <c r="D8">
        <v>73</v>
      </c>
      <c r="E8">
        <v>70</v>
      </c>
      <c r="F8" s="2" t="s">
        <v>23</v>
      </c>
      <c r="G8">
        <f t="shared" si="0"/>
        <v>70</v>
      </c>
      <c r="H8" t="str">
        <f t="shared" si="1"/>
        <v>Pass</v>
      </c>
      <c r="J8" t="str">
        <f t="shared" si="2"/>
        <v>B</v>
      </c>
      <c r="K8" t="str">
        <f t="shared" si="4"/>
        <v>No</v>
      </c>
      <c r="L8">
        <f t="shared" si="3"/>
        <v>3</v>
      </c>
      <c r="N8" s="10">
        <v>39794</v>
      </c>
    </row>
    <row r="9" spans="1:29" x14ac:dyDescent="0.3">
      <c r="A9" t="s">
        <v>24</v>
      </c>
      <c r="B9" t="s">
        <v>25</v>
      </c>
      <c r="C9">
        <v>38</v>
      </c>
      <c r="D9">
        <v>45</v>
      </c>
      <c r="E9">
        <v>51</v>
      </c>
      <c r="F9" s="2" t="s">
        <v>26</v>
      </c>
      <c r="G9">
        <f t="shared" si="0"/>
        <v>44.666666666666664</v>
      </c>
      <c r="H9" t="str">
        <f t="shared" si="1"/>
        <v>Fail</v>
      </c>
      <c r="J9" t="str">
        <f t="shared" si="2"/>
        <v>D</v>
      </c>
      <c r="K9" t="str">
        <f t="shared" si="4"/>
        <v>No</v>
      </c>
      <c r="L9">
        <f t="shared" si="3"/>
        <v>2</v>
      </c>
      <c r="N9" s="10" t="s">
        <v>106</v>
      </c>
    </row>
    <row r="10" spans="1:29" x14ac:dyDescent="0.3">
      <c r="A10" t="s">
        <v>27</v>
      </c>
      <c r="B10" t="s">
        <v>28</v>
      </c>
      <c r="C10">
        <v>81</v>
      </c>
      <c r="D10">
        <v>84</v>
      </c>
      <c r="E10">
        <v>79</v>
      </c>
      <c r="F10" s="6">
        <v>45332</v>
      </c>
      <c r="G10">
        <f t="shared" si="0"/>
        <v>81.333333333333329</v>
      </c>
      <c r="H10" t="str">
        <f t="shared" si="1"/>
        <v>Pass</v>
      </c>
      <c r="J10" t="str">
        <f t="shared" si="2"/>
        <v>A</v>
      </c>
      <c r="K10" t="str">
        <f t="shared" si="4"/>
        <v>Yes</v>
      </c>
      <c r="L10">
        <f t="shared" si="3"/>
        <v>2</v>
      </c>
      <c r="N10" s="10">
        <v>39667</v>
      </c>
    </row>
    <row r="11" spans="1:29" x14ac:dyDescent="0.3">
      <c r="A11" t="s">
        <v>29</v>
      </c>
      <c r="B11" t="s">
        <v>30</v>
      </c>
      <c r="C11">
        <v>76</v>
      </c>
      <c r="D11">
        <v>80</v>
      </c>
      <c r="E11">
        <v>85</v>
      </c>
      <c r="F11" s="7" t="s">
        <v>31</v>
      </c>
      <c r="G11">
        <f t="shared" si="0"/>
        <v>80.333333333333329</v>
      </c>
      <c r="H11" t="str">
        <f t="shared" si="1"/>
        <v>Pass</v>
      </c>
      <c r="J11" t="str">
        <f t="shared" si="2"/>
        <v>A</v>
      </c>
      <c r="K11" t="str">
        <f t="shared" si="4"/>
        <v>No</v>
      </c>
      <c r="L11">
        <f t="shared" si="3"/>
        <v>1</v>
      </c>
      <c r="N11" s="10" t="s">
        <v>107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AC39-491B-4D15-B73F-7247E97B2F94}">
  <dimension ref="A1:I8"/>
  <sheetViews>
    <sheetView workbookViewId="0">
      <selection activeCell="I2" sqref="I2:I8"/>
    </sheetView>
  </sheetViews>
  <sheetFormatPr defaultRowHeight="14.4" x14ac:dyDescent="0.3"/>
  <cols>
    <col min="4" max="4" width="16.5546875" customWidth="1"/>
    <col min="5" max="5" width="16.6640625" customWidth="1"/>
    <col min="6" max="6" width="13.5546875" customWidth="1"/>
    <col min="7" max="7" width="16.44140625" customWidth="1"/>
    <col min="8" max="8" width="15" customWidth="1"/>
    <col min="9" max="9" width="11.6640625" customWidth="1"/>
  </cols>
  <sheetData>
    <row r="1" spans="1:9" x14ac:dyDescent="0.3">
      <c r="A1" s="8" t="s">
        <v>36</v>
      </c>
      <c r="B1" s="8" t="s">
        <v>37</v>
      </c>
      <c r="C1" s="8" t="s">
        <v>38</v>
      </c>
      <c r="D1" s="8" t="s">
        <v>46</v>
      </c>
      <c r="E1" t="s">
        <v>48</v>
      </c>
      <c r="F1" s="8"/>
      <c r="G1" s="1" t="s">
        <v>110</v>
      </c>
      <c r="H1" s="1" t="s">
        <v>111</v>
      </c>
      <c r="I1" s="1" t="s">
        <v>112</v>
      </c>
    </row>
    <row r="2" spans="1:9" x14ac:dyDescent="0.3">
      <c r="A2" t="s">
        <v>39</v>
      </c>
      <c r="B2">
        <v>55000</v>
      </c>
      <c r="D2">
        <f>IF(B2&gt;=50000,B2*10%,IF(B2&gt;=10000,B2*5%,0))</f>
        <v>5500</v>
      </c>
      <c r="E2" t="str">
        <f>IF(OR(B2&gt;=10000,D2&gt;500),"Yes","No")</f>
        <v>Yes</v>
      </c>
      <c r="G2">
        <f>ROUND(B2,-2)</f>
        <v>55000</v>
      </c>
      <c r="H2">
        <f>CEILING(B2,1000)</f>
        <v>55000</v>
      </c>
      <c r="I2">
        <f>FLOOR(B2,1000)</f>
        <v>55000</v>
      </c>
    </row>
    <row r="3" spans="1:9" x14ac:dyDescent="0.3">
      <c r="A3" t="s">
        <v>40</v>
      </c>
      <c r="B3">
        <v>800</v>
      </c>
      <c r="D3">
        <f t="shared" ref="D3:D8" si="0">IF(B3&gt;=50000,B3*10%,IF(B3&gt;=10000,B3*5%,0))</f>
        <v>0</v>
      </c>
      <c r="E3" t="str">
        <f t="shared" ref="E3:E8" si="1">IF(OR(B3&gt;=10000,D3&gt;500),"Yes","No")</f>
        <v>No</v>
      </c>
      <c r="I3">
        <f t="shared" ref="I3:I8" si="2">FLOOR(B3,1000)</f>
        <v>0</v>
      </c>
    </row>
    <row r="4" spans="1:9" x14ac:dyDescent="0.3">
      <c r="A4" t="s">
        <v>41</v>
      </c>
      <c r="B4">
        <v>1500</v>
      </c>
      <c r="D4">
        <f t="shared" si="0"/>
        <v>0</v>
      </c>
      <c r="E4" t="str">
        <f t="shared" si="1"/>
        <v>No</v>
      </c>
      <c r="I4">
        <f t="shared" si="2"/>
        <v>1000</v>
      </c>
    </row>
    <row r="5" spans="1:9" x14ac:dyDescent="0.3">
      <c r="A5" t="s">
        <v>42</v>
      </c>
      <c r="B5">
        <v>12000</v>
      </c>
      <c r="D5">
        <f t="shared" si="0"/>
        <v>600</v>
      </c>
      <c r="E5" t="str">
        <f t="shared" si="1"/>
        <v>Yes</v>
      </c>
      <c r="I5">
        <f t="shared" si="2"/>
        <v>12000</v>
      </c>
    </row>
    <row r="6" spans="1:9" x14ac:dyDescent="0.3">
      <c r="A6" t="s">
        <v>43</v>
      </c>
      <c r="B6">
        <v>2500</v>
      </c>
      <c r="D6">
        <f t="shared" si="0"/>
        <v>0</v>
      </c>
      <c r="E6" t="str">
        <f t="shared" si="1"/>
        <v>No</v>
      </c>
      <c r="I6">
        <f t="shared" si="2"/>
        <v>2000</v>
      </c>
    </row>
    <row r="7" spans="1:9" x14ac:dyDescent="0.3">
      <c r="A7" t="s">
        <v>44</v>
      </c>
      <c r="B7">
        <v>18000</v>
      </c>
      <c r="D7">
        <f t="shared" si="0"/>
        <v>900</v>
      </c>
      <c r="E7" t="str">
        <f t="shared" si="1"/>
        <v>Yes</v>
      </c>
      <c r="I7">
        <f t="shared" si="2"/>
        <v>18000</v>
      </c>
    </row>
    <row r="8" spans="1:9" x14ac:dyDescent="0.3">
      <c r="A8" t="s">
        <v>45</v>
      </c>
      <c r="B8">
        <v>400</v>
      </c>
      <c r="D8">
        <f t="shared" si="0"/>
        <v>0</v>
      </c>
      <c r="E8" t="str">
        <f t="shared" si="1"/>
        <v>No</v>
      </c>
      <c r="I8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BDA2-25D2-4B93-BCBF-FA4BE58378C1}">
  <dimension ref="A1:E9"/>
  <sheetViews>
    <sheetView workbookViewId="0">
      <selection activeCell="E2" sqref="E2"/>
    </sheetView>
  </sheetViews>
  <sheetFormatPr defaultRowHeight="14.4" x14ac:dyDescent="0.3"/>
  <cols>
    <col min="5" max="5" width="18.109375" customWidth="1"/>
  </cols>
  <sheetData>
    <row r="1" spans="1:5" x14ac:dyDescent="0.3">
      <c r="A1" t="s">
        <v>51</v>
      </c>
      <c r="B1" t="s">
        <v>36</v>
      </c>
      <c r="C1" t="s">
        <v>52</v>
      </c>
      <c r="E1" s="1" t="s">
        <v>56</v>
      </c>
    </row>
    <row r="2" spans="1:5" x14ac:dyDescent="0.3">
      <c r="A2" t="s">
        <v>53</v>
      </c>
      <c r="B2" t="s">
        <v>39</v>
      </c>
      <c r="C2">
        <v>55000</v>
      </c>
      <c r="E2">
        <f>SUMIFS(C2:C9,A2:A9,"North",B2:B9,"Laptop")</f>
        <v>100000</v>
      </c>
    </row>
    <row r="3" spans="1:5" x14ac:dyDescent="0.3">
      <c r="A3" t="s">
        <v>54</v>
      </c>
      <c r="B3" t="s">
        <v>39</v>
      </c>
      <c r="C3">
        <v>62000</v>
      </c>
    </row>
    <row r="4" spans="1:5" x14ac:dyDescent="0.3">
      <c r="A4" t="s">
        <v>53</v>
      </c>
      <c r="B4" t="s">
        <v>40</v>
      </c>
      <c r="C4">
        <v>8000</v>
      </c>
    </row>
    <row r="5" spans="1:5" x14ac:dyDescent="0.3">
      <c r="A5" t="s">
        <v>55</v>
      </c>
      <c r="B5" t="s">
        <v>39</v>
      </c>
      <c r="C5">
        <v>48000</v>
      </c>
    </row>
    <row r="6" spans="1:5" x14ac:dyDescent="0.3">
      <c r="A6" t="s">
        <v>53</v>
      </c>
      <c r="B6" t="s">
        <v>39</v>
      </c>
      <c r="C6">
        <v>45000</v>
      </c>
    </row>
    <row r="7" spans="1:5" x14ac:dyDescent="0.3">
      <c r="A7" t="s">
        <v>54</v>
      </c>
      <c r="B7" t="s">
        <v>40</v>
      </c>
      <c r="C7">
        <v>7500</v>
      </c>
    </row>
    <row r="8" spans="1:5" x14ac:dyDescent="0.3">
      <c r="A8" t="s">
        <v>55</v>
      </c>
      <c r="B8" t="s">
        <v>40</v>
      </c>
      <c r="C8">
        <v>9000</v>
      </c>
    </row>
    <row r="9" spans="1:5" x14ac:dyDescent="0.3">
      <c r="A9" t="s">
        <v>53</v>
      </c>
      <c r="B9" t="s">
        <v>41</v>
      </c>
      <c r="C9">
        <v>12000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B863-B468-459F-BC35-67E6E27A86DD}">
  <dimension ref="A1:K7"/>
  <sheetViews>
    <sheetView workbookViewId="0">
      <selection activeCell="K2" sqref="K2:K3"/>
    </sheetView>
  </sheetViews>
  <sheetFormatPr defaultRowHeight="14.4" x14ac:dyDescent="0.3"/>
  <cols>
    <col min="1" max="1" width="12.77734375" customWidth="1"/>
    <col min="4" max="4" width="20.44140625" customWidth="1"/>
    <col min="5" max="5" width="15.6640625" customWidth="1"/>
    <col min="7" max="7" width="15.5546875" customWidth="1"/>
    <col min="10" max="10" width="14" customWidth="1"/>
    <col min="11" max="11" width="15" customWidth="1"/>
  </cols>
  <sheetData>
    <row r="1" spans="1:11" x14ac:dyDescent="0.3">
      <c r="A1" s="9" t="s">
        <v>58</v>
      </c>
      <c r="B1" s="9" t="s">
        <v>36</v>
      </c>
      <c r="C1" s="9" t="s">
        <v>37</v>
      </c>
      <c r="D1" s="9" t="s">
        <v>65</v>
      </c>
      <c r="E1" s="1" t="s">
        <v>66</v>
      </c>
      <c r="G1" s="1" t="s">
        <v>95</v>
      </c>
      <c r="H1" s="1" t="s">
        <v>96</v>
      </c>
      <c r="J1" t="s">
        <v>97</v>
      </c>
      <c r="K1" t="s">
        <v>66</v>
      </c>
    </row>
    <row r="2" spans="1:11" x14ac:dyDescent="0.3">
      <c r="A2" t="s">
        <v>59</v>
      </c>
      <c r="B2" t="s">
        <v>39</v>
      </c>
      <c r="C2">
        <v>55000</v>
      </c>
      <c r="D2" t="s">
        <v>62</v>
      </c>
      <c r="E2">
        <f>VLOOKUP(D2,A2:C7,3,FALSE)</f>
        <v>12000</v>
      </c>
      <c r="G2" t="s">
        <v>42</v>
      </c>
      <c r="H2">
        <f>_xlfn.XMATCH(G2,B2:B7,0)</f>
        <v>4</v>
      </c>
      <c r="J2" t="s">
        <v>98</v>
      </c>
      <c r="K2" cm="1">
        <f t="array" aca="1" ref="K2" ca="1">INDIRECT(J2)</f>
        <v>1500</v>
      </c>
    </row>
    <row r="3" spans="1:11" x14ac:dyDescent="0.3">
      <c r="A3" t="s">
        <v>60</v>
      </c>
      <c r="B3" t="s">
        <v>40</v>
      </c>
      <c r="C3">
        <v>800</v>
      </c>
      <c r="J3" t="s">
        <v>99</v>
      </c>
      <c r="K3" cm="1">
        <f t="array" aca="1" ref="K3" ca="1">INDIRECT(J3)</f>
        <v>12000</v>
      </c>
    </row>
    <row r="4" spans="1:11" x14ac:dyDescent="0.3">
      <c r="A4" t="s">
        <v>61</v>
      </c>
      <c r="B4" t="s">
        <v>41</v>
      </c>
      <c r="C4">
        <v>1500</v>
      </c>
    </row>
    <row r="5" spans="1:11" x14ac:dyDescent="0.3">
      <c r="A5" t="s">
        <v>62</v>
      </c>
      <c r="B5" t="s">
        <v>42</v>
      </c>
      <c r="C5">
        <v>12000</v>
      </c>
    </row>
    <row r="6" spans="1:11" x14ac:dyDescent="0.3">
      <c r="A6" t="s">
        <v>63</v>
      </c>
      <c r="B6" t="s">
        <v>43</v>
      </c>
      <c r="C6">
        <v>2500</v>
      </c>
    </row>
    <row r="7" spans="1:11" x14ac:dyDescent="0.3">
      <c r="A7" t="s">
        <v>64</v>
      </c>
      <c r="B7" t="s">
        <v>44</v>
      </c>
      <c r="C7">
        <v>18000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9003-2654-4D1D-9D9A-B11FA018CE73}">
  <dimension ref="A1:J7"/>
  <sheetViews>
    <sheetView workbookViewId="0">
      <selection activeCell="J3" sqref="J3"/>
    </sheetView>
  </sheetViews>
  <sheetFormatPr defaultRowHeight="14.4" x14ac:dyDescent="0.3"/>
  <cols>
    <col min="1" max="1" width="11.33203125" customWidth="1"/>
    <col min="6" max="6" width="11.5546875" customWidth="1"/>
    <col min="10" max="10" width="18.77734375" customWidth="1"/>
  </cols>
  <sheetData>
    <row r="1" spans="1:10" x14ac:dyDescent="0.3">
      <c r="A1" s="9" t="s">
        <v>67</v>
      </c>
      <c r="B1" s="9" t="s">
        <v>68</v>
      </c>
      <c r="C1" s="9" t="s">
        <v>69</v>
      </c>
      <c r="D1" s="9" t="s">
        <v>70</v>
      </c>
      <c r="F1" s="1" t="s">
        <v>67</v>
      </c>
      <c r="G1" s="9" t="s">
        <v>74</v>
      </c>
      <c r="H1" s="9" t="s">
        <v>52</v>
      </c>
      <c r="J1" t="s">
        <v>100</v>
      </c>
    </row>
    <row r="2" spans="1:10" x14ac:dyDescent="0.3">
      <c r="A2" t="s">
        <v>71</v>
      </c>
      <c r="B2">
        <v>25000</v>
      </c>
      <c r="C2">
        <v>28000</v>
      </c>
      <c r="D2">
        <v>30000</v>
      </c>
      <c r="F2" t="s">
        <v>18</v>
      </c>
      <c r="G2" t="s">
        <v>69</v>
      </c>
      <c r="H2">
        <f>INDEX(B2:D7,MATCH(F2,A2:A7,0),MATCH(G2,B1:D1,0))</f>
        <v>35000</v>
      </c>
      <c r="J2">
        <f ca="1">OFFSET(B2,0,1)</f>
        <v>28000</v>
      </c>
    </row>
    <row r="3" spans="1:10" x14ac:dyDescent="0.3">
      <c r="A3" t="s">
        <v>18</v>
      </c>
      <c r="B3">
        <v>32000</v>
      </c>
      <c r="C3">
        <v>35000</v>
      </c>
      <c r="D3">
        <v>38000</v>
      </c>
      <c r="J3">
        <f ca="1">OFFSET(B3,0,1)</f>
        <v>35000</v>
      </c>
    </row>
    <row r="4" spans="1:10" x14ac:dyDescent="0.3">
      <c r="A4" t="s">
        <v>72</v>
      </c>
      <c r="B4">
        <v>18000</v>
      </c>
      <c r="C4">
        <v>22000</v>
      </c>
      <c r="D4">
        <v>25000</v>
      </c>
    </row>
    <row r="5" spans="1:10" x14ac:dyDescent="0.3">
      <c r="A5" t="s">
        <v>15</v>
      </c>
      <c r="B5">
        <v>27000</v>
      </c>
      <c r="C5">
        <v>29000</v>
      </c>
      <c r="D5">
        <v>31000</v>
      </c>
    </row>
    <row r="6" spans="1:10" x14ac:dyDescent="0.3">
      <c r="A6" t="s">
        <v>10</v>
      </c>
      <c r="B6">
        <v>35000</v>
      </c>
      <c r="C6">
        <v>37000</v>
      </c>
      <c r="D6">
        <v>40000</v>
      </c>
    </row>
    <row r="7" spans="1:10" x14ac:dyDescent="0.3">
      <c r="A7" t="s">
        <v>73</v>
      </c>
      <c r="B7">
        <v>21000</v>
      </c>
      <c r="C7">
        <v>24000</v>
      </c>
      <c r="D7">
        <v>26000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B40D-07E1-4F72-95E4-CD064045C656}">
  <dimension ref="A1:D7"/>
  <sheetViews>
    <sheetView workbookViewId="0">
      <selection activeCell="D3" sqref="D3"/>
    </sheetView>
  </sheetViews>
  <sheetFormatPr defaultRowHeight="14.4" x14ac:dyDescent="0.3"/>
  <cols>
    <col min="1" max="1" width="18.88671875" customWidth="1"/>
    <col min="2" max="2" width="12.77734375" customWidth="1"/>
    <col min="3" max="3" width="17.21875" customWidth="1"/>
    <col min="4" max="4" width="14.88671875" customWidth="1"/>
  </cols>
  <sheetData>
    <row r="1" spans="1:4" x14ac:dyDescent="0.3">
      <c r="A1" s="1" t="s">
        <v>75</v>
      </c>
      <c r="B1" s="1" t="s">
        <v>82</v>
      </c>
      <c r="C1" s="1" t="s">
        <v>83</v>
      </c>
      <c r="D1" s="1" t="s">
        <v>84</v>
      </c>
    </row>
    <row r="2" spans="1:4" x14ac:dyDescent="0.3">
      <c r="A2" t="s">
        <v>76</v>
      </c>
      <c r="B2" t="str">
        <f>LEFT(A2,FIND(" ",A2)-1)</f>
        <v>Avani</v>
      </c>
      <c r="C2" t="str">
        <f>UPPER(A2)</f>
        <v>AVANI CHAUDHARY</v>
      </c>
      <c r="D2" t="str">
        <f>LOWER(A2)</f>
        <v>avani chaudhary</v>
      </c>
    </row>
    <row r="3" spans="1:4" x14ac:dyDescent="0.3">
      <c r="A3" t="s">
        <v>77</v>
      </c>
    </row>
    <row r="4" spans="1:4" x14ac:dyDescent="0.3">
      <c r="A4" t="s">
        <v>78</v>
      </c>
    </row>
    <row r="5" spans="1:4" x14ac:dyDescent="0.3">
      <c r="A5" t="s">
        <v>79</v>
      </c>
    </row>
    <row r="6" spans="1:4" x14ac:dyDescent="0.3">
      <c r="A6" t="s">
        <v>80</v>
      </c>
    </row>
    <row r="7" spans="1:4" x14ac:dyDescent="0.3">
      <c r="A7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6D8F-9A9C-4477-97FC-6C4FD60FD1A8}">
  <dimension ref="A1:G7"/>
  <sheetViews>
    <sheetView workbookViewId="0">
      <selection activeCell="G2" sqref="G2"/>
    </sheetView>
  </sheetViews>
  <sheetFormatPr defaultRowHeight="14.4" x14ac:dyDescent="0.3"/>
  <cols>
    <col min="1" max="1" width="12" customWidth="1"/>
    <col min="2" max="2" width="15" customWidth="1"/>
    <col min="6" max="6" width="18.88671875" customWidth="1"/>
    <col min="7" max="7" width="16" customWidth="1"/>
  </cols>
  <sheetData>
    <row r="1" spans="1:7" x14ac:dyDescent="0.3">
      <c r="A1" s="1" t="s">
        <v>85</v>
      </c>
      <c r="B1" s="1" t="s">
        <v>86</v>
      </c>
      <c r="C1" s="1" t="s">
        <v>87</v>
      </c>
      <c r="E1" t="s">
        <v>57</v>
      </c>
      <c r="F1" t="s">
        <v>94</v>
      </c>
      <c r="G1" t="s">
        <v>86</v>
      </c>
    </row>
    <row r="2" spans="1:7" x14ac:dyDescent="0.3">
      <c r="A2" t="s">
        <v>88</v>
      </c>
      <c r="B2" t="s">
        <v>71</v>
      </c>
      <c r="C2">
        <v>35000</v>
      </c>
      <c r="E2" t="s">
        <v>91</v>
      </c>
      <c r="F2">
        <f>_xlfn.XLOOKUP(E2,A2:A7,C2:C7)</f>
        <v>45000</v>
      </c>
      <c r="G2" t="str">
        <f>_xlfn.XLOOKUP(E2,A2:A7,B2:B7)</f>
        <v>Neha</v>
      </c>
    </row>
    <row r="3" spans="1:7" x14ac:dyDescent="0.3">
      <c r="A3" t="s">
        <v>89</v>
      </c>
      <c r="B3" t="s">
        <v>18</v>
      </c>
      <c r="C3">
        <v>42000</v>
      </c>
    </row>
    <row r="4" spans="1:7" x14ac:dyDescent="0.3">
      <c r="A4" t="s">
        <v>90</v>
      </c>
      <c r="B4" t="s">
        <v>72</v>
      </c>
      <c r="C4">
        <v>38000</v>
      </c>
    </row>
    <row r="5" spans="1:7" x14ac:dyDescent="0.3">
      <c r="A5" t="s">
        <v>91</v>
      </c>
      <c r="B5" t="s">
        <v>15</v>
      </c>
      <c r="C5">
        <v>45000</v>
      </c>
    </row>
    <row r="6" spans="1:7" x14ac:dyDescent="0.3">
      <c r="A6" t="s">
        <v>92</v>
      </c>
      <c r="B6" t="s">
        <v>10</v>
      </c>
      <c r="C6">
        <v>50000</v>
      </c>
    </row>
    <row r="7" spans="1:7" x14ac:dyDescent="0.3">
      <c r="A7" t="s">
        <v>93</v>
      </c>
      <c r="B7" t="s">
        <v>73</v>
      </c>
      <c r="C7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Student_Data</vt:lpstr>
      <vt:lpstr>Sales_Data</vt:lpstr>
      <vt:lpstr>Regional_Sales</vt:lpstr>
      <vt:lpstr>Product_Data</vt:lpstr>
      <vt:lpstr>Sales_Monthly</vt:lpstr>
      <vt:lpstr>Text_Data</vt:lpstr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Chaudhary</dc:creator>
  <cp:lastModifiedBy>Avani Chaudhary</cp:lastModifiedBy>
  <dcterms:created xsi:type="dcterms:W3CDTF">2026-09-24T13:00:22Z</dcterms:created>
  <dcterms:modified xsi:type="dcterms:W3CDTF">2026-09-24T15:57:24Z</dcterms:modified>
</cp:coreProperties>
</file>